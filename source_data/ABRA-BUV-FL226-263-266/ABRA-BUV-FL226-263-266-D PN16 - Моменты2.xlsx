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.kramorov\PycharmProjects\djangoProject1\source_data\ABRA-BUV-FL226-263-266\"/>
    </mc:Choice>
  </mc:AlternateContent>
  <xr:revisionPtr revIDLastSave="0" documentId="8_{16EDA244-A287-41C8-91B0-C58A20EE1B8F}" xr6:coauthVersionLast="45" xr6:coauthVersionMax="45" xr10:uidLastSave="{00000000-0000-0000-0000-000000000000}"/>
  <bookViews>
    <workbookView xWindow="-120" yWindow="-120" windowWidth="29040" windowHeight="15840" xr2:uid="{21123D2E-187C-49D6-B597-01946EA924FB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8" i="1" l="1"/>
  <c r="L18" i="1"/>
  <c r="M18" i="1"/>
  <c r="N18" i="1"/>
  <c r="O18" i="1"/>
  <c r="P18" i="1"/>
  <c r="K18" i="1"/>
  <c r="L16" i="1"/>
  <c r="M16" i="1"/>
  <c r="N16" i="1"/>
  <c r="O16" i="1"/>
  <c r="P16" i="1"/>
  <c r="K16" i="1"/>
  <c r="P14" i="1"/>
  <c r="O14" i="1"/>
  <c r="N14" i="1"/>
  <c r="M14" i="1"/>
  <c r="L14" i="1"/>
  <c r="K14" i="1"/>
</calcChain>
</file>

<file path=xl/sharedStrings.xml><?xml version="1.0" encoding="utf-8"?>
<sst xmlns="http://schemas.openxmlformats.org/spreadsheetml/2006/main" count="63" uniqueCount="21">
  <si>
    <t>B1 - диаметр штока, мм = N</t>
  </si>
  <si>
    <t>-</t>
  </si>
  <si>
    <t>B2 - шпонка, мм</t>
  </si>
  <si>
    <t>B3 - квадрат штока, мм</t>
  </si>
  <si>
    <t>Ду / DN</t>
  </si>
  <si>
    <t>Тип верхнего монтажного фланца по ISO 5210 (ISO 5211)</t>
  </si>
  <si>
    <t>F07</t>
  </si>
  <si>
    <t>F10</t>
  </si>
  <si>
    <t>F12/F14</t>
  </si>
  <si>
    <t>F14</t>
  </si>
  <si>
    <t>F16</t>
  </si>
  <si>
    <t>F25</t>
  </si>
  <si>
    <t>SQ11</t>
  </si>
  <si>
    <t>SQ14</t>
  </si>
  <si>
    <t>SQ17</t>
  </si>
  <si>
    <t>SQ22</t>
  </si>
  <si>
    <t>SQ27</t>
  </si>
  <si>
    <t>момент</t>
  </si>
  <si>
    <t>Вх момент</t>
  </si>
  <si>
    <t>I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</si>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</sst>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ACA47-5FD9-4C81-97CB-87534635CE54}">
  <dimension ref="A1:R19"/>
  <sheetViews>
    <sheetView tabSelected="1" workbookViewId="0">
      <selection activeCell="S15" sqref="S15"/>
    </sheetView>
  </sheetViews>
  <sheetFormatPr defaultRowHeight="15" x14ac:dyDescent="0.25"/>
  <sheetData>
    <row r="1" spans="1:16" ht="102" x14ac:dyDescent="0.25">
      <c r="A1" s="1" t="s">
        <v>4</v>
      </c>
      <c r="B1" s="1" t="s">
        <v>17</v>
      </c>
      <c r="C1" s="1" t="s">
        <v>0</v>
      </c>
      <c r="D1" s="1" t="s">
        <v>2</v>
      </c>
      <c r="E1" s="1" t="s">
        <v>3</v>
      </c>
      <c r="F1" s="1" t="s">
        <v>5</v>
      </c>
    </row>
    <row r="2" spans="1:16" x14ac:dyDescent="0.25">
      <c r="A2" s="1">
        <v>50</v>
      </c>
      <c r="B2" s="1">
        <v>23</v>
      </c>
      <c r="C2" s="1" t="s">
        <v>1</v>
      </c>
      <c r="D2" s="1" t="s">
        <v>1</v>
      </c>
      <c r="E2" s="1" t="s">
        <v>12</v>
      </c>
      <c r="F2" s="1" t="s">
        <v>6</v>
      </c>
    </row>
    <row r="3" spans="1:16" x14ac:dyDescent="0.25">
      <c r="A3" s="1">
        <v>65</v>
      </c>
      <c r="B3" s="1">
        <v>29</v>
      </c>
      <c r="C3" s="1" t="s">
        <v>1</v>
      </c>
      <c r="D3" s="1" t="s">
        <v>1</v>
      </c>
      <c r="E3" s="1" t="s">
        <v>12</v>
      </c>
      <c r="F3" s="1" t="s">
        <v>6</v>
      </c>
    </row>
    <row r="4" spans="1:16" x14ac:dyDescent="0.25">
      <c r="A4" s="1">
        <v>80</v>
      </c>
      <c r="B4" s="1">
        <v>39</v>
      </c>
      <c r="C4" s="1" t="s">
        <v>1</v>
      </c>
      <c r="D4" s="1" t="s">
        <v>1</v>
      </c>
      <c r="E4" s="1" t="s">
        <v>12</v>
      </c>
      <c r="F4" s="1" t="s">
        <v>6</v>
      </c>
    </row>
    <row r="5" spans="1:16" x14ac:dyDescent="0.25">
      <c r="A5" s="1">
        <v>100</v>
      </c>
      <c r="B5" s="1">
        <v>59</v>
      </c>
      <c r="C5" s="1" t="s">
        <v>1</v>
      </c>
      <c r="D5" s="1" t="s">
        <v>1</v>
      </c>
      <c r="E5" s="1" t="s">
        <v>13</v>
      </c>
      <c r="F5" s="1" t="s">
        <v>6</v>
      </c>
    </row>
    <row r="6" spans="1:16" x14ac:dyDescent="0.25">
      <c r="A6" s="1">
        <v>125</v>
      </c>
      <c r="B6" s="1">
        <v>95</v>
      </c>
      <c r="C6" s="1" t="s">
        <v>1</v>
      </c>
      <c r="D6" s="1" t="s">
        <v>1</v>
      </c>
      <c r="E6" s="1" t="s">
        <v>14</v>
      </c>
      <c r="F6" s="1" t="s">
        <v>6</v>
      </c>
    </row>
    <row r="7" spans="1:16" x14ac:dyDescent="0.25">
      <c r="A7" s="1">
        <v>150</v>
      </c>
      <c r="B7" s="1">
        <v>120</v>
      </c>
      <c r="C7" s="1" t="s">
        <v>1</v>
      </c>
      <c r="D7" s="1" t="s">
        <v>1</v>
      </c>
      <c r="E7" s="1" t="s">
        <v>14</v>
      </c>
      <c r="F7" s="1" t="s">
        <v>6</v>
      </c>
    </row>
    <row r="8" spans="1:16" x14ac:dyDescent="0.25">
      <c r="A8" s="1">
        <v>200</v>
      </c>
      <c r="B8" s="1">
        <v>220</v>
      </c>
      <c r="C8" s="1" t="s">
        <v>1</v>
      </c>
      <c r="D8" s="1" t="s">
        <v>1</v>
      </c>
      <c r="E8" s="1" t="s">
        <v>14</v>
      </c>
      <c r="F8" s="1" t="s">
        <v>7</v>
      </c>
    </row>
    <row r="9" spans="1:16" x14ac:dyDescent="0.25">
      <c r="A9" s="1">
        <v>250</v>
      </c>
      <c r="B9" s="1">
        <v>350</v>
      </c>
      <c r="C9" s="1" t="s">
        <v>1</v>
      </c>
      <c r="D9" s="1" t="s">
        <v>1</v>
      </c>
      <c r="E9" s="1" t="s">
        <v>15</v>
      </c>
      <c r="F9" s="1" t="s">
        <v>7</v>
      </c>
    </row>
    <row r="10" spans="1:16" x14ac:dyDescent="0.25">
      <c r="A10" s="1">
        <v>300</v>
      </c>
      <c r="B10" s="1">
        <v>560</v>
      </c>
      <c r="C10" s="1" t="s">
        <v>1</v>
      </c>
      <c r="D10" s="1" t="s">
        <v>1</v>
      </c>
      <c r="E10" s="1" t="s">
        <v>16</v>
      </c>
      <c r="F10" s="1" t="s">
        <v>7</v>
      </c>
    </row>
    <row r="11" spans="1:16" x14ac:dyDescent="0.25">
      <c r="A11" s="1">
        <v>350</v>
      </c>
      <c r="B11" s="1">
        <v>950</v>
      </c>
      <c r="C11" s="1">
        <v>31.6</v>
      </c>
      <c r="D11" s="1">
        <v>8</v>
      </c>
      <c r="E11" s="1" t="s">
        <v>1</v>
      </c>
      <c r="F11" s="1" t="s">
        <v>8</v>
      </c>
      <c r="J11" t="s">
        <v>18</v>
      </c>
      <c r="K11">
        <v>60</v>
      </c>
      <c r="L11">
        <v>60</v>
      </c>
      <c r="M11">
        <v>75</v>
      </c>
      <c r="N11">
        <v>120</v>
      </c>
      <c r="O11">
        <v>140</v>
      </c>
      <c r="P11">
        <v>200</v>
      </c>
    </row>
    <row r="12" spans="1:16" x14ac:dyDescent="0.25">
      <c r="A12" s="1">
        <v>400</v>
      </c>
      <c r="B12" s="1">
        <v>1400</v>
      </c>
      <c r="C12" s="1">
        <v>37.950000000000003</v>
      </c>
      <c r="D12" s="1">
        <v>10</v>
      </c>
      <c r="E12" s="1" t="s">
        <v>1</v>
      </c>
      <c r="F12" s="1" t="s">
        <v>9</v>
      </c>
      <c r="J12" t="s">
        <v>19</v>
      </c>
      <c r="K12">
        <v>26</v>
      </c>
      <c r="L12">
        <v>38</v>
      </c>
      <c r="M12">
        <v>38</v>
      </c>
      <c r="N12">
        <v>54</v>
      </c>
      <c r="O12">
        <v>80</v>
      </c>
      <c r="P12">
        <v>78</v>
      </c>
    </row>
    <row r="13" spans="1:16" x14ac:dyDescent="0.25">
      <c r="A13" s="1">
        <v>450</v>
      </c>
      <c r="B13" s="1">
        <v>1950</v>
      </c>
      <c r="C13" s="1">
        <v>42.86</v>
      </c>
      <c r="D13" s="1">
        <v>12</v>
      </c>
      <c r="E13" s="1" t="s">
        <v>1</v>
      </c>
      <c r="F13" s="1" t="s">
        <v>9</v>
      </c>
      <c r="J13" t="s">
        <v>20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</row>
    <row r="14" spans="1:16" x14ac:dyDescent="0.25">
      <c r="A14" s="1">
        <v>500</v>
      </c>
      <c r="B14" s="1">
        <v>2500</v>
      </c>
      <c r="C14" s="1">
        <v>45.72</v>
      </c>
      <c r="D14" s="1">
        <v>12</v>
      </c>
      <c r="E14" s="1" t="s">
        <v>1</v>
      </c>
      <c r="F14" s="1" t="s">
        <v>10</v>
      </c>
      <c r="K14">
        <f>+K11*K12*K13</f>
        <v>1560</v>
      </c>
      <c r="L14">
        <f t="shared" ref="L14:P14" si="0">+L11*L12*L13</f>
        <v>2280</v>
      </c>
      <c r="M14">
        <f t="shared" si="0"/>
        <v>2850</v>
      </c>
      <c r="N14">
        <f t="shared" si="0"/>
        <v>6480</v>
      </c>
      <c r="O14">
        <f t="shared" si="0"/>
        <v>11200</v>
      </c>
      <c r="P14">
        <f t="shared" si="0"/>
        <v>15600</v>
      </c>
    </row>
    <row r="15" spans="1:16" x14ac:dyDescent="0.25">
      <c r="A15" s="1">
        <v>600</v>
      </c>
      <c r="B15" s="1">
        <v>3800</v>
      </c>
      <c r="C15" s="1">
        <v>53.98</v>
      </c>
      <c r="D15" s="1">
        <v>16</v>
      </c>
      <c r="E15" s="1" t="s">
        <v>1</v>
      </c>
      <c r="F15" s="1" t="s">
        <v>10</v>
      </c>
      <c r="K15">
        <v>390</v>
      </c>
      <c r="L15">
        <v>550</v>
      </c>
      <c r="M15">
        <v>620</v>
      </c>
      <c r="N15">
        <v>1200</v>
      </c>
      <c r="O15">
        <v>2000</v>
      </c>
      <c r="P15">
        <v>3500</v>
      </c>
    </row>
    <row r="16" spans="1:16" x14ac:dyDescent="0.25">
      <c r="A16" s="1">
        <v>700</v>
      </c>
      <c r="B16" s="1">
        <v>6200</v>
      </c>
      <c r="C16" s="1">
        <v>53.98</v>
      </c>
      <c r="D16" s="1">
        <v>18</v>
      </c>
      <c r="E16" s="1" t="s">
        <v>1</v>
      </c>
      <c r="F16" s="1" t="s">
        <v>11</v>
      </c>
      <c r="K16">
        <f>+K15/K14</f>
        <v>0.25</v>
      </c>
      <c r="L16">
        <f t="shared" ref="L16:P16" si="1">+L15/L14</f>
        <v>0.2412280701754386</v>
      </c>
      <c r="M16">
        <f t="shared" si="1"/>
        <v>0.21754385964912282</v>
      </c>
      <c r="N16">
        <f t="shared" si="1"/>
        <v>0.18518518518518517</v>
      </c>
      <c r="O16">
        <f t="shared" si="1"/>
        <v>0.17857142857142858</v>
      </c>
      <c r="P16">
        <f t="shared" si="1"/>
        <v>0.22435897435897437</v>
      </c>
    </row>
    <row r="17" spans="1:18" x14ac:dyDescent="0.25">
      <c r="A17" s="1">
        <v>800</v>
      </c>
      <c r="B17" s="1">
        <v>8700</v>
      </c>
      <c r="C17" s="1">
        <v>63.35</v>
      </c>
      <c r="D17" s="1">
        <v>18</v>
      </c>
      <c r="E17" s="1" t="s">
        <v>1</v>
      </c>
      <c r="F17" s="1" t="s">
        <v>11</v>
      </c>
      <c r="K17">
        <v>0.25</v>
      </c>
      <c r="L17">
        <v>0.25</v>
      </c>
      <c r="M17">
        <v>0.25</v>
      </c>
      <c r="N17">
        <v>0.25</v>
      </c>
      <c r="O17">
        <v>0.25</v>
      </c>
      <c r="P17">
        <v>0.25</v>
      </c>
    </row>
    <row r="18" spans="1:18" x14ac:dyDescent="0.25">
      <c r="A18" s="1">
        <v>900</v>
      </c>
      <c r="B18" s="1">
        <v>12000</v>
      </c>
      <c r="C18" s="1">
        <v>75</v>
      </c>
      <c r="D18" s="1">
        <v>20</v>
      </c>
      <c r="E18" s="1" t="s">
        <v>1</v>
      </c>
      <c r="F18" s="1" t="s">
        <v>11</v>
      </c>
      <c r="K18">
        <f>+K11*K12*K17</f>
        <v>390</v>
      </c>
      <c r="L18">
        <f t="shared" ref="L18:P18" si="2">+L11*L12*L17</f>
        <v>570</v>
      </c>
      <c r="M18">
        <f t="shared" si="2"/>
        <v>712.5</v>
      </c>
      <c r="N18">
        <f t="shared" si="2"/>
        <v>1620</v>
      </c>
      <c r="O18">
        <f t="shared" si="2"/>
        <v>2800</v>
      </c>
      <c r="P18">
        <f t="shared" si="2"/>
        <v>3900</v>
      </c>
      <c r="R18">
        <f>200*58*0.18</f>
        <v>2088</v>
      </c>
    </row>
    <row r="19" spans="1:18" x14ac:dyDescent="0.25">
      <c r="A19" s="1">
        <v>1000</v>
      </c>
      <c r="B19" s="1">
        <v>16000</v>
      </c>
      <c r="C19" s="1">
        <v>85</v>
      </c>
      <c r="D19" s="1">
        <v>22</v>
      </c>
      <c r="E19" s="1" t="s">
        <v>1</v>
      </c>
      <c r="F19" s="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 Краморов</dc:creator>
  <cp:lastModifiedBy>Сергей Краморов</cp:lastModifiedBy>
  <dcterms:created xsi:type="dcterms:W3CDTF">2025-11-06T14:30:16Z</dcterms:created>
  <dcterms:modified xsi:type="dcterms:W3CDTF">2025-11-10T11:14:22Z</dcterms:modified>
</cp:coreProperties>
</file>